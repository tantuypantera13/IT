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татистика" sheetId="1" r:id="rId1"/>
    <sheet name="Продажи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0" customWidth="1"/>
  </cols>
  <sheetData>
    <row r="1" ht="30" customHeight="1">
      <c r="A1" t="inlineStr" s="1">
        <is>
          <t xml:space="preserve">№</t>
        </is>
      </c>
      <c r="B1" t="inlineStr" s="1">
        <is>
          <t xml:space="preserve">ФИО студента</t>
        </is>
      </c>
      <c r="C1" t="inlineStr" s="1">
        <is>
          <t xml:space="preserve">Тест</t>
        </is>
      </c>
      <c r="D1" t="inlineStr" s="1">
        <is>
          <t xml:space="preserve">Практика</t>
        </is>
      </c>
      <c r="E1" t="inlineStr" s="1">
        <is>
          <t xml:space="preserve">Проект</t>
        </is>
      </c>
      <c r="F1" t="inlineStr" s="1">
        <is>
          <t xml:space="preserve">Сумма</t>
        </is>
      </c>
      <c r="G1" t="inlineStr" s="1">
        <is>
          <t xml:space="preserve">Средний</t>
        </is>
      </c>
      <c r="H1" t="inlineStr" s="1">
        <is>
          <t xml:space="preserve">Оценка</t>
        </is>
      </c>
      <c r="I1" t="inlineStr" s="1">
        <is>
          <t xml:space="preserve">Ранг</t>
        </is>
      </c>
    </row>
    <row r="2">
      <c r="A2">
        <v>1</v>
      </c>
      <c r="B2" t="inlineStr">
        <is>
          <t xml:space="preserve">Иванов И.И.</t>
        </is>
      </c>
      <c r="C2">
        <v>85</v>
      </c>
      <c r="D2">
        <v>78</v>
      </c>
      <c r="E2">
        <v>92</v>
      </c>
      <c r="F2">
        <f>SUM(C2:E2)</f>
        <v/>
      </c>
      <c r="G2">
        <f>AVERAGE(C2:E2)</f>
        <v/>
      </c>
      <c r="H2">
        <f>IF(G2&gt;=90,5,IF(G2&gt;=75,4,IF(G2&gt;=60,3,2)))</f>
        <v/>
      </c>
      <c r="I2">
        <f>RANK(F2,$F$2:$F$16,0)</f>
        <v/>
      </c>
    </row>
    <row r="3">
      <c r="A3">
        <v>2</v>
      </c>
      <c r="B3" t="inlineStr">
        <is>
          <t xml:space="preserve">Петров П.П.</t>
        </is>
      </c>
      <c r="C3">
        <v>72</v>
      </c>
      <c r="D3">
        <v>65</v>
      </c>
      <c r="E3">
        <v>80</v>
      </c>
      <c r="F3">
        <f>SUM(C3:E3)</f>
        <v/>
      </c>
      <c r="G3">
        <f>AVERAGE(C3:E3)</f>
        <v/>
      </c>
      <c r="H3">
        <f>IF(G3&gt;=90,5,IF(G3&gt;=75,4,IF(G3&gt;=60,3,2)))</f>
        <v/>
      </c>
      <c r="I3">
        <f>RANK(F3,$F$2:$F$16,0)</f>
        <v/>
      </c>
    </row>
    <row r="4">
      <c r="A4">
        <v>3</v>
      </c>
      <c r="B4" t="inlineStr">
        <is>
          <t xml:space="preserve">Сидорова С.С.</t>
        </is>
      </c>
      <c r="C4">
        <v>95</v>
      </c>
      <c r="D4">
        <v>88</v>
      </c>
      <c r="E4">
        <v>98</v>
      </c>
      <c r="F4">
        <f>SUM(C4:E4)</f>
        <v/>
      </c>
      <c r="G4">
        <f>AVERAGE(C4:E4)</f>
        <v/>
      </c>
      <c r="H4">
        <f>IF(G4&gt;=90,5,IF(G4&gt;=75,4,IF(G4&gt;=60,3,2)))</f>
        <v/>
      </c>
      <c r="I4">
        <f>RANK(F4,$F$2:$F$16,0)</f>
        <v/>
      </c>
    </row>
    <row r="5">
      <c r="A5">
        <v>4</v>
      </c>
      <c r="B5" t="inlineStr">
        <is>
          <t xml:space="preserve">Кузнецов К.К.</t>
        </is>
      </c>
      <c r="C5">
        <v>65</v>
      </c>
      <c r="D5">
        <v>55</v>
      </c>
      <c r="E5">
        <v>70</v>
      </c>
      <c r="F5">
        <f>SUM(C5:E5)</f>
        <v/>
      </c>
      <c r="G5">
        <f>AVERAGE(C5:E5)</f>
        <v/>
      </c>
      <c r="H5">
        <f>IF(G5&gt;=90,5,IF(G5&gt;=75,4,IF(G5&gt;=60,3,2)))</f>
        <v/>
      </c>
      <c r="I5">
        <f>RANK(F5,$F$2:$F$16,0)</f>
        <v/>
      </c>
    </row>
    <row r="6">
      <c r="A6">
        <v>5</v>
      </c>
      <c r="B6" t="inlineStr">
        <is>
          <t xml:space="preserve">Смирнова С.С.</t>
        </is>
      </c>
      <c r="C6">
        <v>78</v>
      </c>
      <c r="D6">
        <v>82</v>
      </c>
      <c r="E6">
        <v>85</v>
      </c>
      <c r="F6">
        <f>SUM(C6:E6)</f>
        <v/>
      </c>
      <c r="G6">
        <f>AVERAGE(C6:E6)</f>
        <v/>
      </c>
      <c r="H6">
        <f>IF(G6&gt;=90,5,IF(G6&gt;=75,4,IF(G6&gt;=60,3,2)))</f>
        <v/>
      </c>
      <c r="I6">
        <f>RANK(F6,$F$2:$F$16,0)</f>
        <v/>
      </c>
    </row>
    <row r="7">
      <c r="A7">
        <v>6</v>
      </c>
      <c r="B7" t="inlineStr">
        <is>
          <t xml:space="preserve">Волков В.В.</t>
        </is>
      </c>
      <c r="C7">
        <v>88</v>
      </c>
      <c r="D7">
        <v>90</v>
      </c>
      <c r="E7">
        <v>95</v>
      </c>
      <c r="F7">
        <f>SUM(C7:E7)</f>
        <v/>
      </c>
      <c r="G7">
        <f>AVERAGE(C7:E7)</f>
        <v/>
      </c>
      <c r="H7">
        <f>IF(G7&gt;=90,5,IF(G7&gt;=75,4,IF(G7&gt;=60,3,2)))</f>
        <v/>
      </c>
      <c r="I7">
        <f>RANK(F7,$F$2:$F$16,0)</f>
        <v/>
      </c>
    </row>
    <row r="8">
      <c r="A8">
        <v>7</v>
      </c>
      <c r="B8" t="inlineStr">
        <is>
          <t xml:space="preserve">Морозова М.М.</t>
        </is>
      </c>
      <c r="C8">
        <v>65</v>
      </c>
      <c r="D8">
        <v>70</v>
      </c>
      <c r="E8">
        <v>68</v>
      </c>
      <c r="F8">
        <f>SUM(C8:E8)</f>
        <v/>
      </c>
      <c r="G8">
        <f>AVERAGE(C8:E8)</f>
        <v/>
      </c>
      <c r="H8">
        <f>IF(G8&gt;=90,5,IF(G8&gt;=75,4,IF(G8&gt;=60,3,2)))</f>
        <v/>
      </c>
      <c r="I8">
        <f>RANK(F8,$F$2:$F$16,0)</f>
        <v/>
      </c>
    </row>
    <row r="9">
      <c r="A9">
        <v>8</v>
      </c>
      <c r="B9" t="inlineStr">
        <is>
          <t xml:space="preserve">Новиков Н.Н.</t>
        </is>
      </c>
      <c r="C9">
        <v>92</v>
      </c>
      <c r="D9">
        <v>85</v>
      </c>
      <c r="E9">
        <v>88</v>
      </c>
      <c r="F9">
        <f>SUM(C9:E9)</f>
        <v/>
      </c>
      <c r="G9">
        <f>AVERAGE(C9:E9)</f>
        <v/>
      </c>
      <c r="H9">
        <f>IF(G9&gt;=90,5,IF(G9&gt;=75,4,IF(G9&gt;=60,3,2)))</f>
        <v/>
      </c>
      <c r="I9">
        <f>RANK(F9,$F$2:$F$16,0)</f>
        <v/>
      </c>
    </row>
    <row r="10">
      <c r="A10">
        <v>9</v>
      </c>
      <c r="B10" t="inlineStr">
        <is>
          <t xml:space="preserve">Фёдорова Ф.Ф.</t>
        </is>
      </c>
      <c r="C10">
        <v>55</v>
      </c>
      <c r="D10">
        <v>60</v>
      </c>
      <c r="E10">
        <v>58</v>
      </c>
      <c r="F10">
        <f>SUM(C10:E10)</f>
        <v/>
      </c>
      <c r="G10">
        <f>AVERAGE(C10:E10)</f>
        <v/>
      </c>
      <c r="H10">
        <f>IF(G10&gt;=90,5,IF(G10&gt;=75,4,IF(G10&gt;=60,3,2)))</f>
        <v/>
      </c>
      <c r="I10">
        <f>RANK(F10,$F$2:$F$16,0)</f>
        <v/>
      </c>
    </row>
    <row r="11">
      <c r="A11">
        <v>10</v>
      </c>
      <c r="B11" t="inlineStr">
        <is>
          <t xml:space="preserve">Егоров Е.Е.</t>
        </is>
      </c>
      <c r="C11">
        <v>80</v>
      </c>
      <c r="D11">
        <v>75</v>
      </c>
      <c r="E11">
        <v>82</v>
      </c>
      <c r="F11">
        <f>SUM(C11:E11)</f>
        <v/>
      </c>
      <c r="G11">
        <f>AVERAGE(C11:E11)</f>
        <v/>
      </c>
      <c r="H11">
        <f>IF(G11&gt;=90,5,IF(G11&gt;=75,4,IF(G11&gt;=60,3,2)))</f>
        <v/>
      </c>
      <c r="I11">
        <f>RANK(F11,$F$2:$F$16,0)</f>
        <v/>
      </c>
    </row>
    <row r="12">
      <c r="A12">
        <v>11</v>
      </c>
      <c r="B12" t="inlineStr">
        <is>
          <t xml:space="preserve">Павлова П.П.</t>
        </is>
      </c>
      <c r="C12">
        <v>70</v>
      </c>
      <c r="D12">
        <v>68</v>
      </c>
      <c r="E12">
        <v>72</v>
      </c>
      <c r="F12">
        <f>SUM(C12:E12)</f>
        <v/>
      </c>
      <c r="G12">
        <f>AVERAGE(C12:E12)</f>
        <v/>
      </c>
      <c r="H12">
        <f>IF(G12&gt;=90,5,IF(G12&gt;=75,4,IF(G12&gt;=60,3,2)))</f>
        <v/>
      </c>
      <c r="I12">
        <f>RANK(F12,$F$2:$F$16,0)</f>
        <v/>
      </c>
    </row>
    <row r="13">
      <c r="A13">
        <v>12</v>
      </c>
      <c r="B13" t="inlineStr">
        <is>
          <t xml:space="preserve">Соколов С.С.</t>
        </is>
      </c>
      <c r="C13">
        <v>90</v>
      </c>
      <c r="D13">
        <v>92</v>
      </c>
      <c r="E13">
        <v>94</v>
      </c>
      <c r="F13">
        <f>SUM(C13:E13)</f>
        <v/>
      </c>
      <c r="G13">
        <f>AVERAGE(C13:E13)</f>
        <v/>
      </c>
      <c r="H13">
        <f>IF(G13&gt;=90,5,IF(G13&gt;=75,4,IF(G13&gt;=60,3,2)))</f>
        <v/>
      </c>
      <c r="I13">
        <f>RANK(F13,$F$2:$F$16,0)</f>
        <v/>
      </c>
    </row>
    <row r="14">
      <c r="A14">
        <v>13</v>
      </c>
      <c r="B14" t="inlineStr">
        <is>
          <t xml:space="preserve">Лебедева Л.Л.</t>
        </is>
      </c>
      <c r="C14">
        <v>75</v>
      </c>
      <c r="D14">
        <v>78</v>
      </c>
      <c r="E14">
        <v>80</v>
      </c>
      <c r="F14">
        <f>SUM(C14:E14)</f>
        <v/>
      </c>
      <c r="G14">
        <f>AVERAGE(C14:E14)</f>
        <v/>
      </c>
      <c r="H14">
        <f>IF(G14&gt;=90,5,IF(G14&gt;=75,4,IF(G14&gt;=60,3,2)))</f>
        <v/>
      </c>
      <c r="I14">
        <f>RANK(F14,$F$2:$F$16,0)</f>
        <v/>
      </c>
    </row>
    <row r="15">
      <c r="A15">
        <v>14</v>
      </c>
      <c r="B15" t="inlineStr">
        <is>
          <t xml:space="preserve">Козлов К.К.</t>
        </is>
      </c>
      <c r="C15">
        <v>62</v>
      </c>
      <c r="D15">
        <v>58</v>
      </c>
      <c r="E15">
        <v>65</v>
      </c>
      <c r="F15">
        <f>SUM(C15:E15)</f>
        <v/>
      </c>
      <c r="G15">
        <f>AVERAGE(C15:E15)</f>
        <v/>
      </c>
      <c r="H15">
        <f>IF(G15&gt;=90,5,IF(G15&gt;=75,4,IF(G15&gt;=60,3,2)))</f>
        <v/>
      </c>
      <c r="I15">
        <f>RANK(F15,$F$2:$F$16,0)</f>
        <v/>
      </c>
    </row>
    <row r="16">
      <c r="A16">
        <v>15</v>
      </c>
      <c r="B16" t="inlineStr">
        <is>
          <t xml:space="preserve">Степанова С.С.</t>
        </is>
      </c>
      <c r="C16">
        <v>98</v>
      </c>
      <c r="D16">
        <v>95</v>
      </c>
      <c r="E16">
        <v>100</v>
      </c>
      <c r="F16">
        <f>SUM(C16:E16)</f>
        <v/>
      </c>
      <c r="G16">
        <f>AVERAGE(C16:E16)</f>
        <v/>
      </c>
      <c r="H16">
        <f>IF(G16&gt;=90,5,IF(G16&gt;=75,4,IF(G16&gt;=60,3,2)))</f>
        <v/>
      </c>
      <c r="I16">
        <f>RANK(F16,$F$2:$F$16,0)</f>
        <v/>
      </c>
    </row>
    <row r="17">
      <c r="A17" t="inlineStr">
        <is>
          <t xml:space="preserve">Среднее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>
        <f>AVERAGE(F2:F16)</f>
        <v/>
      </c>
    </row>
    <row r="18">
      <c r="A18" t="inlineStr">
        <is>
          <t xml:space="preserve">Медиана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>
        <f>MEDIAN(F2:F16)</f>
        <v/>
      </c>
    </row>
    <row r="19">
      <c r="A19" t="inlineStr">
        <is>
          <t xml:space="preserve">Мода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>
        <f>MODE(F2:F16)</f>
        <v/>
      </c>
    </row>
    <row r="20">
      <c r="A20" t="inlineStr">
        <is>
          <t xml:space="preserve">Минимум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>
        <f>MIN(F2:F16)</f>
        <v/>
      </c>
    </row>
    <row r="21">
      <c r="A21" t="inlineStr">
        <is>
          <t xml:space="preserve">Максимум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>
        <f>MAX(F2:F16)</f>
        <v/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0" customWidth="1"/>
  </cols>
  <sheetData>
    <row r="1" ht="30" customHeight="1">
      <c r="A1" t="inlineStr" s="1">
        <is>
          <t xml:space="preserve">№</t>
        </is>
      </c>
      <c r="B1" t="inlineStr" s="1">
        <is>
          <t xml:space="preserve">Товар</t>
        </is>
      </c>
      <c r="C1" t="inlineStr" s="1">
        <is>
          <t xml:space="preserve">Цена</t>
        </is>
      </c>
      <c r="D1" t="inlineStr" s="1">
        <is>
          <t xml:space="preserve">Продано</t>
        </is>
      </c>
      <c r="E1" t="inlineStr" s="1">
        <is>
          <t xml:space="preserve">Выручка</t>
        </is>
      </c>
      <c r="F1" t="inlineStr" s="1">
        <is>
          <t xml:space="preserve">Категория</t>
        </is>
      </c>
      <c r="G1" t="inlineStr" s="1">
        <is>
          <t xml:space="preserve">Доля</t>
        </is>
      </c>
      <c r="H1" t="inlineStr" s="1">
        <is>
          <t xml:space="preserve">Ранг</t>
        </is>
      </c>
    </row>
    <row r="2">
      <c r="A2">
        <v>1</v>
      </c>
      <c r="B2" t="inlineStr">
        <is>
          <t xml:space="preserve">Ноутбук</t>
        </is>
      </c>
      <c r="C2">
        <v>45000</v>
      </c>
      <c r="D2">
        <v>12</v>
      </c>
      <c r="E2">
        <f>C2*D2</f>
        <v/>
      </c>
      <c r="F2">
        <f>IF(E2&gt;100000,"Топ",IF(E2&gt;50000,"Средний","Низкий"))</f>
        <v/>
      </c>
      <c r="G2">
        <f>E2/$E$17</f>
        <v/>
      </c>
      <c r="H2">
        <f>RANK(E2,$E$2:$E$16,0)</f>
        <v/>
      </c>
    </row>
    <row r="3">
      <c r="A3">
        <v>2</v>
      </c>
      <c r="B3" t="inlineStr">
        <is>
          <t xml:space="preserve">Монитор</t>
        </is>
      </c>
      <c r="C3">
        <v>18000</v>
      </c>
      <c r="D3">
        <v>25</v>
      </c>
      <c r="E3">
        <f>C3*D3</f>
        <v/>
      </c>
      <c r="F3">
        <f>IF(E3&gt;100000,"Топ",IF(E3&gt;50000,"Средний","Низкий"))</f>
        <v/>
      </c>
      <c r="G3">
        <f>E3/$E$17</f>
        <v/>
      </c>
      <c r="H3">
        <f>RANK(E3,$E$2:$E$16,0)</f>
        <v/>
      </c>
    </row>
    <row r="4">
      <c r="A4">
        <v>3</v>
      </c>
      <c r="B4" t="inlineStr">
        <is>
          <t xml:space="preserve">Клавиатура</t>
        </is>
      </c>
      <c r="C4">
        <v>1500</v>
      </c>
      <c r="D4">
        <v>60</v>
      </c>
      <c r="E4">
        <f>C4*D4</f>
        <v/>
      </c>
      <c r="F4">
        <f>IF(E4&gt;100000,"Топ",IF(E4&gt;50000,"Средний","Низкий"))</f>
        <v/>
      </c>
      <c r="G4">
        <f>E4/$E$17</f>
        <v/>
      </c>
      <c r="H4">
        <f>RANK(E4,$E$2:$E$16,0)</f>
        <v/>
      </c>
    </row>
    <row r="5">
      <c r="A5">
        <v>4</v>
      </c>
      <c r="B5" t="inlineStr">
        <is>
          <t xml:space="preserve">Мышь</t>
        </is>
      </c>
      <c r="C5">
        <v>800</v>
      </c>
      <c r="D5">
        <v>85</v>
      </c>
      <c r="E5">
        <f>C5*D5</f>
        <v/>
      </c>
      <c r="F5">
        <f>IF(E5&gt;100000,"Топ",IF(E5&gt;50000,"Средний","Низкий"))</f>
        <v/>
      </c>
      <c r="G5">
        <f>E5/$E$17</f>
        <v/>
      </c>
      <c r="H5">
        <f>RANK(E5,$E$2:$E$16,0)</f>
        <v/>
      </c>
    </row>
    <row r="6">
      <c r="A6">
        <v>5</v>
      </c>
      <c r="B6" t="inlineStr">
        <is>
          <t xml:space="preserve">Принтер</t>
        </is>
      </c>
      <c r="C6">
        <v>12000</v>
      </c>
      <c r="D6">
        <v>8</v>
      </c>
      <c r="E6">
        <f>C6*D6</f>
        <v/>
      </c>
      <c r="F6">
        <f>IF(E6&gt;100000,"Топ",IF(E6&gt;50000,"Средний","Низкий"))</f>
        <v/>
      </c>
      <c r="G6">
        <f>E6/$E$17</f>
        <v/>
      </c>
      <c r="H6">
        <f>RANK(E6,$E$2:$E$16,0)</f>
        <v/>
      </c>
    </row>
    <row r="7">
      <c r="A7">
        <v>6</v>
      </c>
      <c r="B7" t="inlineStr">
        <is>
          <t xml:space="preserve">Сканер</t>
        </is>
      </c>
      <c r="C7">
        <v>9000</v>
      </c>
      <c r="D7">
        <v>6</v>
      </c>
      <c r="E7">
        <f>C7*D7</f>
        <v/>
      </c>
      <c r="F7">
        <f>IF(E7&gt;100000,"Топ",IF(E7&gt;50000,"Средний","Низкий"))</f>
        <v/>
      </c>
      <c r="G7">
        <f>E7/$E$17</f>
        <v/>
      </c>
      <c r="H7">
        <f>RANK(E7,$E$2:$E$16,0)</f>
        <v/>
      </c>
    </row>
    <row r="8">
      <c r="A8">
        <v>7</v>
      </c>
      <c r="B8" t="inlineStr">
        <is>
          <t xml:space="preserve">Флешка 32ГБ</t>
        </is>
      </c>
      <c r="C8">
        <v>600</v>
      </c>
      <c r="D8">
        <v>120</v>
      </c>
      <c r="E8">
        <f>C8*D8</f>
        <v/>
      </c>
      <c r="F8">
        <f>IF(E8&gt;100000,"Топ",IF(E8&gt;50000,"Средний","Низкий"))</f>
        <v/>
      </c>
      <c r="G8">
        <f>E8/$E$17</f>
        <v/>
      </c>
      <c r="H8">
        <f>RANK(E8,$E$2:$E$16,0)</f>
        <v/>
      </c>
    </row>
    <row r="9">
      <c r="A9">
        <v>8</v>
      </c>
      <c r="B9" t="inlineStr">
        <is>
          <t xml:space="preserve">Внешний HDD</t>
        </is>
      </c>
      <c r="C9">
        <v>5500</v>
      </c>
      <c r="D9">
        <v>15</v>
      </c>
      <c r="E9">
        <f>C9*D9</f>
        <v/>
      </c>
      <c r="F9">
        <f>IF(E9&gt;100000,"Топ",IF(E9&gt;50000,"Средний","Низкий"))</f>
        <v/>
      </c>
      <c r="G9">
        <f>E9/$E$17</f>
        <v/>
      </c>
      <c r="H9">
        <f>RANK(E9,$E$2:$E$16,0)</f>
        <v/>
      </c>
    </row>
    <row r="10">
      <c r="A10">
        <v>9</v>
      </c>
      <c r="B10" t="inlineStr">
        <is>
          <t xml:space="preserve">Веб-камера</t>
        </is>
      </c>
      <c r="C10">
        <v>2800</v>
      </c>
      <c r="D10">
        <v>22</v>
      </c>
      <c r="E10">
        <f>C10*D10</f>
        <v/>
      </c>
      <c r="F10">
        <f>IF(E10&gt;100000,"Топ",IF(E10&gt;50000,"Средний","Низкий"))</f>
        <v/>
      </c>
      <c r="G10">
        <f>E10/$E$17</f>
        <v/>
      </c>
      <c r="H10">
        <f>RANK(E10,$E$2:$E$16,0)</f>
        <v/>
      </c>
    </row>
    <row r="11">
      <c r="A11">
        <v>10</v>
      </c>
      <c r="B11" t="inlineStr">
        <is>
          <t xml:space="preserve">Наушники</t>
        </is>
      </c>
      <c r="C11">
        <v>3200</v>
      </c>
      <c r="D11">
        <v>35</v>
      </c>
      <c r="E11">
        <f>C11*D11</f>
        <v/>
      </c>
      <c r="F11">
        <f>IF(E11&gt;100000,"Топ",IF(E11&gt;50000,"Средний","Низкий"))</f>
        <v/>
      </c>
      <c r="G11">
        <f>E11/$E$17</f>
        <v/>
      </c>
      <c r="H11">
        <f>RANK(E11,$E$2:$E$16,0)</f>
        <v/>
      </c>
    </row>
    <row r="12">
      <c r="A12">
        <v>11</v>
      </c>
      <c r="B12" t="inlineStr">
        <is>
          <t xml:space="preserve">Коврик для мыши</t>
        </is>
      </c>
      <c r="C12">
        <v>400</v>
      </c>
      <c r="D12">
        <v>90</v>
      </c>
      <c r="E12">
        <f>C12*D12</f>
        <v/>
      </c>
      <c r="F12">
        <f>IF(E12&gt;100000,"Топ",IF(E12&gt;50000,"Средний","Низкий"))</f>
        <v/>
      </c>
      <c r="G12">
        <f>E12/$E$17</f>
        <v/>
      </c>
      <c r="H12">
        <f>RANK(E12,$E$2:$E$16,0)</f>
        <v/>
      </c>
    </row>
    <row r="13">
      <c r="A13">
        <v>12</v>
      </c>
      <c r="B13" t="inlineStr">
        <is>
          <t xml:space="preserve">USB-хаб</t>
        </is>
      </c>
      <c r="C13">
        <v>1200</v>
      </c>
      <c r="D13">
        <v>40</v>
      </c>
      <c r="E13">
        <f>C13*D13</f>
        <v/>
      </c>
      <c r="F13">
        <f>IF(E13&gt;100000,"Топ",IF(E13&gt;50000,"Средний","Низкий"))</f>
        <v/>
      </c>
      <c r="G13">
        <f>E13/$E$17</f>
        <v/>
      </c>
      <c r="H13">
        <f>RANK(E13,$E$2:$E$16,0)</f>
        <v/>
      </c>
    </row>
    <row r="14">
      <c r="A14">
        <v>13</v>
      </c>
      <c r="B14" t="inlineStr">
        <is>
          <t xml:space="preserve">Картридж</t>
        </is>
      </c>
      <c r="C14">
        <v>2500</v>
      </c>
      <c r="D14">
        <v>18</v>
      </c>
      <c r="E14">
        <f>C14*D14</f>
        <v/>
      </c>
      <c r="F14">
        <f>IF(E14&gt;100000,"Топ",IF(E14&gt;50000,"Средний","Низкий"))</f>
        <v/>
      </c>
      <c r="G14">
        <f>E14/$E$17</f>
        <v/>
      </c>
      <c r="H14">
        <f>RANK(E14,$E$2:$E$16,0)</f>
        <v/>
      </c>
    </row>
    <row r="15">
      <c r="A15">
        <v>14</v>
      </c>
      <c r="B15" t="inlineStr">
        <is>
          <t xml:space="preserve">Бумага А4</t>
        </is>
      </c>
      <c r="C15">
        <v>350</v>
      </c>
      <c r="D15">
        <v>200</v>
      </c>
      <c r="E15">
        <f>C15*D15</f>
        <v/>
      </c>
      <c r="F15">
        <f>IF(E15&gt;100000,"Топ",IF(E15&gt;50000,"Средний","Низкий"))</f>
        <v/>
      </c>
      <c r="G15">
        <f>E15/$E$17</f>
        <v/>
      </c>
      <c r="H15">
        <f>RANK(E15,$E$2:$E$16,0)</f>
        <v/>
      </c>
    </row>
    <row r="16">
      <c r="A16">
        <v>15</v>
      </c>
      <c r="B16" t="inlineStr">
        <is>
          <t xml:space="preserve">Роутер</t>
        </is>
      </c>
      <c r="C16">
        <v>4500</v>
      </c>
      <c r="D16">
        <v>14</v>
      </c>
      <c r="E16">
        <f>C16*D16</f>
        <v/>
      </c>
      <c r="F16">
        <f>IF(E16&gt;100000,"Топ",IF(E16&gt;50000,"Средний","Низкий"))</f>
        <v/>
      </c>
      <c r="G16">
        <f>E16/$E$17</f>
        <v/>
      </c>
      <c r="H16">
        <f>RANK(E16,$E$2:$E$16,0)</f>
        <v/>
      </c>
    </row>
    <row r="17">
      <c r="A17" t="inlineStr">
        <is>
          <t xml:space="preserve">ИТОГО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>
        <f>SUM(E2:E16)</f>
        <v/>
      </c>
    </row>
    <row r="18">
      <c r="A18" t="inlineStr">
        <is>
          <t xml:space="preserve">Среднее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>
        <f>AVERAGE(E2:E16)</f>
        <v/>
      </c>
    </row>
    <row r="19">
      <c r="A19" t="inlineStr">
        <is>
          <t xml:space="preserve">Медиана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>
        <f>MEDIAN(E2:E16)</f>
        <v/>
      </c>
    </row>
    <row r="20">
      <c r="A20" t="inlineStr">
        <is>
          <t xml:space="preserve">Минимум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>
        <f>MIN(E2:E16)</f>
        <v/>
      </c>
    </row>
    <row r="21">
      <c r="A21" t="inlineStr">
        <is>
          <t xml:space="preserve">Максимум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>
        <f>MAX(E2:E16)</f>
        <v/>
      </c>
    </row>
  </sheetData>
</worksheet>
</file>