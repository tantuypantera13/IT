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тематика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0" customWidth="1"/>
  </cols>
  <sheetData>
    <row r="1" ht="30" customHeight="1">
      <c r="A1" t="inlineStr" s="1">
        <is>
          <t xml:space="preserve">№ детали</t>
        </is>
      </c>
      <c r="B1" t="inlineStr" s="1">
        <is>
          <t xml:space="preserve">R (мм)</t>
        </is>
      </c>
      <c r="C1" t="inlineStr" s="1">
        <is>
          <t xml:space="preserve">h (мм)</t>
        </is>
      </c>
      <c r="D1" t="inlineStr" s="1">
        <is>
          <t xml:space="preserve">m (кг)</t>
        </is>
      </c>
      <c r="E1" t="inlineStr" s="1">
        <is>
          <t xml:space="preserve">L (мм)</t>
        </is>
      </c>
      <c r="F1" t="inlineStr" s="1">
        <is>
          <t xml:space="preserve">Диаметр</t>
        </is>
      </c>
      <c r="G1" t="inlineStr" s="1">
        <is>
          <t xml:space="preserve">Объем</t>
        </is>
      </c>
      <c r="H1" t="inlineStr" s="1">
        <is>
          <t xml:space="preserve">Корень V</t>
        </is>
      </c>
      <c r="I1" t="inlineStr" s="1">
        <is>
          <t xml:space="preserve">|m−3|</t>
        </is>
      </c>
    </row>
    <row r="2">
      <c r="A2">
        <v>1</v>
      </c>
      <c r="B2">
        <v>12.5</v>
      </c>
      <c r="C2">
        <v>30</v>
      </c>
      <c r="D2">
        <v>2.4</v>
      </c>
      <c r="E2">
        <v>145</v>
      </c>
      <c r="F2">
        <f>2*B2</f>
        <v/>
      </c>
      <c r="G2">
        <f>PI()*B2^2*C2</f>
        <v/>
      </c>
      <c r="H2">
        <f>SQRT(G2)</f>
        <v/>
      </c>
      <c r="I2">
        <f>ABS(D2-$K$1)</f>
        <v/>
      </c>
    </row>
    <row r="3">
      <c r="A3">
        <v>2</v>
      </c>
      <c r="B3">
        <v>8.3</v>
      </c>
      <c r="C3">
        <v>25</v>
      </c>
      <c r="D3">
        <v>1.1</v>
      </c>
      <c r="E3">
        <v>98</v>
      </c>
      <c r="F3">
        <f>2*B3</f>
        <v/>
      </c>
      <c r="G3">
        <f>PI()*B3^2*C3</f>
        <v/>
      </c>
      <c r="H3">
        <f>SQRT(G3)</f>
        <v/>
      </c>
      <c r="I3">
        <f>ABS(D3-$K$1)</f>
        <v/>
      </c>
    </row>
    <row r="4">
      <c r="A4">
        <v>3</v>
      </c>
      <c r="B4">
        <v>15.7</v>
      </c>
      <c r="C4">
        <v>40</v>
      </c>
      <c r="D4">
        <v>4</v>
      </c>
      <c r="E4">
        <v>210</v>
      </c>
      <c r="F4">
        <f>2*B4</f>
        <v/>
      </c>
      <c r="G4">
        <f>PI()*B4^2*C4</f>
        <v/>
      </c>
      <c r="H4">
        <f>SQRT(G4)</f>
        <v/>
      </c>
      <c r="I4">
        <f>ABS(D4-$K$1)</f>
        <v/>
      </c>
    </row>
    <row r="5">
      <c r="A5">
        <v>4</v>
      </c>
      <c r="B5">
        <v>6.2</v>
      </c>
      <c r="C5">
        <v>18</v>
      </c>
      <c r="D5">
        <v>0.7</v>
      </c>
      <c r="E5">
        <v>75</v>
      </c>
      <c r="F5">
        <f>2*B5</f>
        <v/>
      </c>
      <c r="G5">
        <f>PI()*B5^2*C5</f>
        <v/>
      </c>
      <c r="H5">
        <f>SQRT(G5)</f>
        <v/>
      </c>
      <c r="I5">
        <f>ABS(D5-$K$1)</f>
        <v/>
      </c>
    </row>
    <row r="6">
      <c r="A6">
        <v>5</v>
      </c>
      <c r="B6">
        <v>20.1</v>
      </c>
      <c r="C6">
        <v>55</v>
      </c>
      <c r="D6">
        <v>6.5</v>
      </c>
      <c r="E6">
        <v>320</v>
      </c>
      <c r="F6">
        <f>2*B6</f>
        <v/>
      </c>
      <c r="G6">
        <f>PI()*B6^2*C6</f>
        <v/>
      </c>
      <c r="H6">
        <f>SQRT(G6)</f>
        <v/>
      </c>
      <c r="I6">
        <f>ABS(D6-$K$1)</f>
        <v/>
      </c>
    </row>
    <row r="7">
      <c r="A7">
        <v>6</v>
      </c>
      <c r="B7">
        <v>10.4</v>
      </c>
      <c r="C7">
        <v>28</v>
      </c>
      <c r="D7">
        <v>1.9</v>
      </c>
      <c r="E7">
        <v>130</v>
      </c>
      <c r="F7">
        <f>2*B7</f>
        <v/>
      </c>
      <c r="G7">
        <f>PI()*B7^2*C7</f>
        <v/>
      </c>
      <c r="H7">
        <f>SQRT(G7)</f>
        <v/>
      </c>
      <c r="I7">
        <f>ABS(D7-$K$1)</f>
        <v/>
      </c>
    </row>
    <row r="8">
      <c r="A8">
        <v>7</v>
      </c>
      <c r="B8">
        <v>18.9</v>
      </c>
      <c r="C8">
        <v>48</v>
      </c>
      <c r="D8">
        <v>5.2</v>
      </c>
      <c r="E8">
        <v>275</v>
      </c>
      <c r="F8">
        <f>2*B8</f>
        <v/>
      </c>
      <c r="G8">
        <f>PI()*B8^2*C8</f>
        <v/>
      </c>
      <c r="H8">
        <f>SQRT(G8)</f>
        <v/>
      </c>
      <c r="I8">
        <f>ABS(D8-$K$1)</f>
        <v/>
      </c>
    </row>
    <row r="9"/>
    <row r="10">
      <c r="A10" t="inlineStr">
        <is>
          <t xml:space="preserve">Норма массы</t>
        </is>
      </c>
      <c r="B10">
        <v>3</v>
      </c>
    </row>
    <row r="11">
      <c r="A11" t="inlineStr">
        <is>
          <t xml:space="preserve">Начальная сумма</t>
        </is>
      </c>
      <c r="B11">
        <v>100000</v>
      </c>
    </row>
    <row r="12">
      <c r="A12" t="inlineStr">
        <is>
          <t xml:space="preserve">Ставка</t>
        </is>
      </c>
      <c r="B12">
        <v>0.12</v>
      </c>
    </row>
    <row r="13">
      <c r="A13" t="inlineStr">
        <is>
          <t xml:space="preserve">Срок (лет)</t>
        </is>
      </c>
      <c r="B13">
        <v>5</v>
      </c>
    </row>
    <row r="14">
      <c r="A14" t="inlineStr">
        <is>
          <t xml:space="preserve">Итог</t>
        </is>
      </c>
      <c r="B14">
        <f>B11*(1+B12)^B13</f>
        <v/>
      </c>
    </row>
  </sheetData>
</worksheet>
</file>