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Зарплата" sheetId="1" r:id="rId1"/>
    <sheet name="Товары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0" customWidth="1"/>
  </cols>
  <sheetData>
    <row r="1" ht="30" customHeight="1">
      <c r="A1" t="inlineStr" s="1">
        <is>
          <t xml:space="preserve">№</t>
        </is>
      </c>
      <c r="B1" t="inlineStr" s="1">
        <is>
          <t xml:space="preserve">ФИО</t>
        </is>
      </c>
      <c r="C1" t="inlineStr" s="1">
        <is>
          <t xml:space="preserve">Оклад</t>
        </is>
      </c>
      <c r="D1" t="inlineStr" s="1">
        <is>
          <t xml:space="preserve">Премия %</t>
        </is>
      </c>
      <c r="E1" t="inlineStr" s="1">
        <is>
          <t xml:space="preserve">Премия руб.</t>
        </is>
      </c>
      <c r="F1" t="inlineStr" s="1">
        <is>
          <t xml:space="preserve">НДФЛ</t>
        </is>
      </c>
      <c r="G1" t="inlineStr" s="1">
        <is>
          <t xml:space="preserve">К выдаче</t>
        </is>
      </c>
    </row>
    <row r="2">
      <c r="A2">
        <v>1</v>
      </c>
      <c r="B2" t="inlineStr">
        <is>
          <t xml:space="preserve">Иванов И.И.</t>
        </is>
      </c>
      <c r="C2">
        <v>50000</v>
      </c>
      <c r="D2">
        <v>20</v>
      </c>
      <c r="E2">
        <f>C2*D2/100</f>
        <v/>
      </c>
      <c r="F2">
        <f>(C2+E2)*$J$2</f>
        <v/>
      </c>
      <c r="G2">
        <f>C2+E2-F2</f>
        <v/>
      </c>
    </row>
    <row r="3">
      <c r="A3">
        <v>2</v>
      </c>
      <c r="B3" t="inlineStr">
        <is>
          <t xml:space="preserve">Петров П.П.</t>
        </is>
      </c>
      <c r="C3">
        <v>45000</v>
      </c>
      <c r="D3">
        <v>15</v>
      </c>
      <c r="E3">
        <f>C3*D3/100</f>
        <v/>
      </c>
      <c r="F3">
        <f>(C3+E3)*$J$2</f>
        <v/>
      </c>
      <c r="G3">
        <f>C3+E3-F3</f>
        <v/>
      </c>
    </row>
    <row r="4">
      <c r="A4">
        <v>3</v>
      </c>
      <c r="B4" t="inlineStr">
        <is>
          <t xml:space="preserve">Сидоров С.С.</t>
        </is>
      </c>
      <c r="C4">
        <v>62000</v>
      </c>
      <c r="D4">
        <v>25</v>
      </c>
      <c r="E4">
        <f>C4*D4/100</f>
        <v/>
      </c>
      <c r="F4">
        <f>(C4+E4)*$J$2</f>
        <v/>
      </c>
      <c r="G4">
        <f>C4+E4-F4</f>
        <v/>
      </c>
    </row>
    <row r="5">
      <c r="A5">
        <v>4</v>
      </c>
      <c r="B5" t="inlineStr">
        <is>
          <t xml:space="preserve">Кузнецова К.К.</t>
        </is>
      </c>
      <c r="C5">
        <v>55000</v>
      </c>
      <c r="D5">
        <v>10</v>
      </c>
      <c r="E5">
        <f>C5*D5/100</f>
        <v/>
      </c>
      <c r="F5">
        <f>(C5+E5)*$J$2</f>
        <v/>
      </c>
      <c r="G5">
        <f>C5+E5-F5</f>
        <v/>
      </c>
    </row>
    <row r="6">
      <c r="A6">
        <v>5</v>
      </c>
      <c r="B6" t="inlineStr">
        <is>
          <t xml:space="preserve">Смирнов С.С.</t>
        </is>
      </c>
      <c r="C6">
        <v>40000</v>
      </c>
      <c r="D6">
        <v>30</v>
      </c>
      <c r="E6">
        <f>C6*D6/100</f>
        <v/>
      </c>
      <c r="F6">
        <f>(C6+E6)*$J$2</f>
        <v/>
      </c>
      <c r="G6">
        <f>C6+E6-F6</f>
        <v/>
      </c>
    </row>
    <row r="7">
      <c r="A7" t="inlineStr">
        <is>
          <t xml:space="preserve">ИТОГО</t>
        </is>
      </c>
      <c r="B7" t="inlineStr">
        <is>
          <t xml:space="preserve"/>
        </is>
      </c>
      <c r="C7">
        <f>SUM(C2:C6)</f>
        <v/>
      </c>
      <c r="D7" t="inlineStr">
        <is>
          <t xml:space="preserve"/>
        </is>
      </c>
      <c r="E7">
        <f>SUM(E2:E6)</f>
        <v/>
      </c>
      <c r="F7">
        <f>SUM(F2:F6)</f>
        <v/>
      </c>
      <c r="G7">
        <f>SUM(G2:G6)</f>
        <v/>
      </c>
    </row>
    <row r="8"/>
    <row r="9">
      <c r="A9" t="inlineStr">
        <is>
          <t xml:space="preserve">Ставка НДФЛ</t>
        </is>
      </c>
      <c r="B9">
        <v>0.13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0" customWidth="1"/>
  </cols>
  <sheetData>
    <row r="1" ht="30" customHeight="1">
      <c r="A1" t="inlineStr" s="1">
        <is>
          <t xml:space="preserve">Товар</t>
        </is>
      </c>
      <c r="B1" t="inlineStr" s="1">
        <is>
          <t xml:space="preserve">Цена за ед.</t>
        </is>
      </c>
      <c r="C1" t="inlineStr" s="1">
        <is>
          <t xml:space="preserve">Кол-во</t>
        </is>
      </c>
      <c r="D1" t="inlineStr" s="1">
        <is>
          <t xml:space="preserve">Скидка %</t>
        </is>
      </c>
      <c r="E1" t="inlineStr" s="1">
        <is>
          <t xml:space="preserve">Стоимость</t>
        </is>
      </c>
      <c r="F1" t="inlineStr" s="1">
        <is>
          <t xml:space="preserve">Итого со скидкой</t>
        </is>
      </c>
    </row>
    <row r="2">
      <c r="A2" t="inlineStr">
        <is>
          <t xml:space="preserve">Ноутбук</t>
        </is>
      </c>
      <c r="B2">
        <v>45000</v>
      </c>
      <c r="C2">
        <v>5</v>
      </c>
      <c r="D2">
        <v>5</v>
      </c>
      <c r="E2">
        <f>B2*C2</f>
        <v/>
      </c>
      <c r="F2">
        <f>E2*(1-D2/100)</f>
        <v/>
      </c>
    </row>
    <row r="3">
      <c r="A3" t="inlineStr">
        <is>
          <t xml:space="preserve">Монитор</t>
        </is>
      </c>
      <c r="B3">
        <v>18000</v>
      </c>
      <c r="C3">
        <v>10</v>
      </c>
      <c r="D3">
        <v>3</v>
      </c>
      <c r="E3">
        <f>B3*C3</f>
        <v/>
      </c>
      <c r="F3">
        <f>E3*(1-D3/100)</f>
        <v/>
      </c>
    </row>
    <row r="4">
      <c r="A4" t="inlineStr">
        <is>
          <t xml:space="preserve">Клавиатура</t>
        </is>
      </c>
      <c r="B4">
        <v>1500</v>
      </c>
      <c r="C4">
        <v>25</v>
      </c>
      <c r="D4">
        <v>10</v>
      </c>
      <c r="E4">
        <f>B4*C4</f>
        <v/>
      </c>
      <c r="F4">
        <f>E4*(1-D4/100)</f>
        <v/>
      </c>
    </row>
    <row r="5">
      <c r="A5" t="inlineStr">
        <is>
          <t xml:space="preserve">Мышь</t>
        </is>
      </c>
      <c r="B5">
        <v>800</v>
      </c>
      <c r="C5">
        <v>30</v>
      </c>
      <c r="D5">
        <v>7</v>
      </c>
      <c r="E5">
        <f>B5*C5</f>
        <v/>
      </c>
      <c r="F5">
        <f>E5*(1-D5/100)</f>
        <v/>
      </c>
    </row>
    <row r="6">
      <c r="A6" t="inlineStr">
        <is>
          <t xml:space="preserve">ИТОГО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>
        <f>SUM(E2:E5)</f>
        <v/>
      </c>
      <c r="F6">
        <f>SUM(F2:F5)</f>
        <v/>
      </c>
    </row>
  </sheetData>
</worksheet>
</file>